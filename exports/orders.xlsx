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'Orders'!$A$1:$N$6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FFFFFF"/>
      <sz val="14"/>
    </font>
    <font>
      <name val="Segoe UI"/>
      <b val="1"/>
      <sz val="10"/>
    </font>
    <font>
      <name val="Segoe UI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3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6" customWidth="1" min="3" max="3"/>
    <col width="24" customWidth="1" min="4" max="4"/>
    <col width="15" customWidth="1" min="5" max="5"/>
    <col width="12" customWidth="1" min="6" max="6"/>
    <col width="16" customWidth="1" min="7" max="7"/>
    <col width="18" customWidth="1" min="8" max="8"/>
    <col width="14" customWidth="1" min="9" max="9"/>
    <col width="18" customWidth="1" min="10" max="10"/>
    <col width="16" customWidth="1" min="11" max="11"/>
    <col width="18" customWidth="1" min="12" max="12"/>
    <col width="12" customWidth="1" min="13" max="13"/>
    <col width="35" customWidth="1" min="14" max="14"/>
  </cols>
  <sheetData>
    <row r="1">
      <c r="A1" s="1" t="inlineStr">
        <is>
          <t>Order ID</t>
        </is>
      </c>
      <c r="B1" s="1" t="inlineStr">
        <is>
          <t>Product Name</t>
        </is>
      </c>
      <c r="C1" s="1" t="inlineStr">
        <is>
          <t>Platform</t>
        </is>
      </c>
      <c r="D1" s="1" t="inlineStr">
        <is>
          <t>Order Number</t>
        </is>
      </c>
      <c r="E1" s="1" t="inlineStr">
        <is>
          <t>Price (INR)</t>
        </is>
      </c>
      <c r="F1" s="1" t="inlineStr">
        <is>
          <t>Quantity</t>
        </is>
      </c>
      <c r="G1" s="1" t="inlineStr">
        <is>
          <t>Total (INR)</t>
        </is>
      </c>
      <c r="H1" s="1" t="inlineStr">
        <is>
          <t>Payment Method</t>
        </is>
      </c>
      <c r="I1" s="1" t="inlineStr">
        <is>
          <t>Order Date</t>
        </is>
      </c>
      <c r="J1" s="1" t="inlineStr">
        <is>
          <t>Expected Delivery</t>
        </is>
      </c>
      <c r="K1" s="1" t="inlineStr">
        <is>
          <t>Actual Delivery</t>
        </is>
      </c>
      <c r="L1" s="1" t="inlineStr">
        <is>
          <t>Status</t>
        </is>
      </c>
      <c r="M1" s="1" t="inlineStr">
        <is>
          <t>Received</t>
        </is>
      </c>
      <c r="N1" s="1" t="inlineStr">
        <is>
          <t>Notes</t>
        </is>
      </c>
    </row>
    <row r="2">
      <c r="A2" s="2" t="inlineStr">
        <is>
          <t>ORD-102</t>
        </is>
      </c>
      <c r="B2" s="3" t="inlineStr">
        <is>
          <t>Nutrition Jar Product</t>
        </is>
      </c>
      <c r="C2" s="3" t="inlineStr">
        <is>
          <t>Meesho</t>
        </is>
      </c>
      <c r="D2" s="4" t="inlineStr"/>
      <c r="E2" s="5" t="n">
        <v>309</v>
      </c>
      <c r="F2" s="2" t="n">
        <v>1</v>
      </c>
      <c r="G2" s="5">
        <f>E2*F2</f>
        <v/>
      </c>
      <c r="H2" s="2" t="inlineStr">
        <is>
          <t>Cash on Delivery</t>
        </is>
      </c>
      <c r="I2" s="2" t="inlineStr">
        <is>
          <t>2026-10-11</t>
        </is>
      </c>
      <c r="J2" s="2" t="inlineStr">
        <is>
          <t>2026-10-15</t>
        </is>
      </c>
      <c r="K2" s="2" t="inlineStr"/>
      <c r="L2" s="2" t="inlineStr">
        <is>
          <t>Order Placed</t>
        </is>
      </c>
      <c r="M2" s="2" t="inlineStr">
        <is>
          <t>No</t>
        </is>
      </c>
      <c r="N2" s="3" t="inlineStr">
        <is>
          <t>Pay online to save COD fee</t>
        </is>
      </c>
    </row>
    <row r="3">
      <c r="A3" s="2" t="inlineStr">
        <is>
          <t>ORD-104</t>
        </is>
      </c>
      <c r="B3" s="3" t="inlineStr">
        <is>
          <t>Double Head Coloured Pen Set with 12 Colours</t>
        </is>
      </c>
      <c r="C3" s="3" t="inlineStr">
        <is>
          <t>Meesho</t>
        </is>
      </c>
      <c r="D3" s="4" t="inlineStr">
        <is>
          <t>339665923259753152</t>
        </is>
      </c>
      <c r="E3" s="5" t="n">
        <v>143</v>
      </c>
      <c r="F3" s="2" t="n">
        <v>1</v>
      </c>
      <c r="G3" s="5">
        <f>E3*F3</f>
        <v/>
      </c>
      <c r="H3" s="2" t="inlineStr">
        <is>
          <t>Cash on Delivery</t>
        </is>
      </c>
      <c r="I3" s="2" t="inlineStr">
        <is>
          <t>2026-10-08</t>
        </is>
      </c>
      <c r="J3" s="2" t="inlineStr">
        <is>
          <t>2026-10-17</t>
        </is>
      </c>
      <c r="K3" s="2" t="inlineStr"/>
      <c r="L3" s="2" t="inlineStr">
        <is>
          <t>On the Way</t>
        </is>
      </c>
      <c r="M3" s="2" t="inlineStr">
        <is>
          <t>No</t>
        </is>
      </c>
      <c r="N3" s="3" t="inlineStr">
        <is>
          <t>At New Delhi West hub</t>
        </is>
      </c>
    </row>
    <row r="4">
      <c r="A4" s="2" t="inlineStr">
        <is>
          <t>ORD-101</t>
        </is>
      </c>
      <c r="B4" s="3" t="inlineStr">
        <is>
          <t>48 Marker Pen</t>
        </is>
      </c>
      <c r="C4" s="3" t="inlineStr">
        <is>
          <t>Meesho</t>
        </is>
      </c>
      <c r="D4" s="4" t="inlineStr">
        <is>
          <t>340886586005635776</t>
        </is>
      </c>
      <c r="E4" s="5" t="n">
        <v>260</v>
      </c>
      <c r="F4" s="2" t="n">
        <v>1</v>
      </c>
      <c r="G4" s="5">
        <f>E4*F4</f>
        <v/>
      </c>
      <c r="H4" s="2" t="inlineStr">
        <is>
          <t>Cash on Delivery</t>
        </is>
      </c>
      <c r="I4" s="2" t="inlineStr">
        <is>
          <t>2026-10-11</t>
        </is>
      </c>
      <c r="J4" s="2" t="inlineStr">
        <is>
          <t>2026-10-18</t>
        </is>
      </c>
      <c r="K4" s="2" t="inlineStr"/>
      <c r="L4" s="2" t="inlineStr">
        <is>
          <t>Packed</t>
        </is>
      </c>
      <c r="M4" s="2" t="inlineStr">
        <is>
          <t>No</t>
        </is>
      </c>
      <c r="N4" s="3" t="inlineStr">
        <is>
          <t>Packed, ships 12 Oct</t>
        </is>
      </c>
    </row>
    <row r="5">
      <c r="A5" s="2" t="inlineStr">
        <is>
          <t>ORD-105</t>
        </is>
      </c>
      <c r="B5" s="3" t="inlineStr">
        <is>
          <t>Brown Food Container Set</t>
        </is>
      </c>
      <c r="C5" s="3" t="inlineStr">
        <is>
          <t>Meesho</t>
        </is>
      </c>
      <c r="D5" s="4" t="inlineStr"/>
      <c r="E5" s="5" t="n"/>
      <c r="F5" s="2" t="n">
        <v>1</v>
      </c>
      <c r="G5" s="5">
        <f>E5*F5</f>
        <v/>
      </c>
      <c r="H5" s="2" t="inlineStr">
        <is>
          <t>Cash on Delivery</t>
        </is>
      </c>
      <c r="I5" s="2" t="inlineStr">
        <is>
          <t>2026-10-11</t>
        </is>
      </c>
      <c r="J5" s="2" t="inlineStr">
        <is>
          <t>2026-10-19</t>
        </is>
      </c>
      <c r="K5" s="2" t="inlineStr"/>
      <c r="L5" s="2" t="inlineStr">
        <is>
          <t>On the Way</t>
        </is>
      </c>
      <c r="M5" s="2" t="inlineStr">
        <is>
          <t>No</t>
        </is>
      </c>
      <c r="N5" s="3" t="inlineStr">
        <is>
          <t>Price not entered yet</t>
        </is>
      </c>
    </row>
    <row r="6">
      <c r="A6" s="2" t="inlineStr">
        <is>
          <t>ORD-103</t>
        </is>
      </c>
      <c r="B6" s="3" t="inlineStr">
        <is>
          <t>TV Stand</t>
        </is>
      </c>
      <c r="C6" s="3" t="inlineStr">
        <is>
          <t>Meesho</t>
        </is>
      </c>
      <c r="D6" s="4" t="inlineStr"/>
      <c r="E6" s="5" t="n">
        <v>298</v>
      </c>
      <c r="F6" s="2" t="n">
        <v>1</v>
      </c>
      <c r="G6" s="5">
        <f>E6*F6</f>
        <v/>
      </c>
      <c r="H6" s="2" t="inlineStr">
        <is>
          <t>Cash on Delivery</t>
        </is>
      </c>
      <c r="I6" s="2" t="inlineStr">
        <is>
          <t>2026-10-11</t>
        </is>
      </c>
      <c r="J6" s="2" t="inlineStr">
        <is>
          <t>2026-10-20</t>
        </is>
      </c>
      <c r="K6" s="2" t="inlineStr"/>
      <c r="L6" s="2" t="inlineStr">
        <is>
          <t>Order Placed</t>
        </is>
      </c>
      <c r="M6" s="2" t="inlineStr">
        <is>
          <t>No</t>
        </is>
      </c>
      <c r="N6" s="3" t="inlineStr">
        <is>
          <t>Monitor / Desk Stand</t>
        </is>
      </c>
    </row>
  </sheetData>
  <autoFilter ref="A1:N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6" t="inlineStr">
        <is>
          <t>Order Tracker - KPI Summary</t>
        </is>
      </c>
    </row>
    <row r="2">
      <c r="A2" s="7" t="inlineStr">
        <is>
          <t>Metric</t>
        </is>
      </c>
      <c r="B2" s="7" t="inlineStr">
        <is>
          <t>Value</t>
        </is>
      </c>
    </row>
    <row r="3">
      <c r="A3" s="8" t="inlineStr">
        <is>
          <t>Total Orders</t>
        </is>
      </c>
      <c r="B3" s="2">
        <f>COUNTA(Orders!A2:A6)</f>
        <v/>
      </c>
    </row>
    <row r="4">
      <c r="A4" s="8" t="inlineStr">
        <is>
          <t>Delivered / Received Orders</t>
        </is>
      </c>
      <c r="B4" s="2">
        <f>COUNTIF(Orders!M2:M6, "Yes")</f>
        <v/>
      </c>
    </row>
    <row r="5">
      <c r="A5" s="8" t="inlineStr">
        <is>
          <t>Pending Deliveries</t>
        </is>
      </c>
      <c r="B5" s="2">
        <f>COUNTIF(Orders!M2:M6, "No")</f>
        <v/>
      </c>
    </row>
    <row r="6">
      <c r="A6" s="8" t="inlineStr">
        <is>
          <t>Orders On the Way</t>
        </is>
      </c>
      <c r="B6" s="2">
        <f>COUNTIF(Orders!L2:L6, "On the Way")</f>
        <v/>
      </c>
    </row>
    <row r="7">
      <c r="A7" s="8" t="inlineStr">
        <is>
          <t>Orders Out for Delivery</t>
        </is>
      </c>
      <c r="B7" s="2">
        <f>COUNTIF(Orders!L2:L6, "Out for Delivery")</f>
        <v/>
      </c>
    </row>
    <row r="8">
      <c r="A8" s="8" t="inlineStr">
        <is>
          <t>Cancelled / Returned</t>
        </is>
      </c>
      <c r="B8" s="2">
        <f>COUNTIF(Orders!L2:L6, "Cancelled") + COUNTIF(Orders!L2:L6, "Returned")</f>
        <v/>
      </c>
    </row>
    <row r="9">
      <c r="A9" s="8" t="inlineStr">
        <is>
          <t>Total Order Value</t>
        </is>
      </c>
      <c r="B9" s="5">
        <f>SUM(Orders!G2:G6)</f>
        <v/>
      </c>
    </row>
    <row r="10">
      <c r="A10" s="8" t="inlineStr">
        <is>
          <t>Pending Order Value</t>
        </is>
      </c>
      <c r="B10" s="5">
        <f>SUMIFS(Orders!G2:G6, Orders!M2:M6, "No")</f>
        <v/>
      </c>
    </row>
    <row r="11">
      <c r="A11" s="8" t="inlineStr">
        <is>
          <t>Received Order Value</t>
        </is>
      </c>
      <c r="B11" s="5">
        <f>SUMIFS(Orders!G2:G6, Orders!M2:M6, "Yes")</f>
        <v/>
      </c>
    </row>
    <row r="12">
      <c r="A12" s="8" t="inlineStr">
        <is>
          <t>Generated On</t>
        </is>
      </c>
      <c r="B12" s="2" t="inlineStr">
        <is>
          <t>12 Oct 2026, 12:09 AM</t>
        </is>
      </c>
    </row>
    <row r="14">
      <c r="A14" s="9" t="inlineStr">
        <is>
          <t>Note: The formulas dynamically calculate values when opened in Microsoft Excel.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2026-10-11T18:39:44Z</dcterms:created>
  <dcterms:modified xmlns:dcterms="http://purl.org/dc/terms/" xmlns:xsi="http://www.w3.org/2001/XMLSchema-instance" xsi:type="dcterms:W3CDTF">2026-10-11T18:39:44Z</dcterms:modified>
</cp:coreProperties>
</file>